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577a9d233592178/Engineering Projects/PCB/STM32H503_DevBoard/STM32H503_DevBoard_Altium_Design/"/>
    </mc:Choice>
  </mc:AlternateContent>
  <xr:revisionPtr revIDLastSave="73" documentId="13_ncr:1_{FE3E07D5-7028-43AD-AEC2-8DF6D925663B}" xr6:coauthVersionLast="47" xr6:coauthVersionMax="47" xr10:uidLastSave="{CB47E0EA-4034-4B27-94C4-D1FFC08EE6AB}"/>
  <bookViews>
    <workbookView xWindow="-98" yWindow="-98" windowWidth="21795" windowHeight="13875" activeTab="1" xr2:uid="{0731AA11-9124-4CEA-A032-F7C5362A78F0}"/>
  </bookViews>
  <sheets>
    <sheet name="Crosstalk" sheetId="1" r:id="rId1"/>
    <sheet name="LDO Thermal Calculation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2" i="3" l="1"/>
  <c r="H5" i="3"/>
  <c r="B13" i="3"/>
  <c r="K8" i="3"/>
  <c r="H6" i="3"/>
  <c r="E10" i="3"/>
  <c r="E8" i="3"/>
  <c r="B7" i="3"/>
  <c r="G3" i="1"/>
  <c r="I3" i="1" s="1"/>
  <c r="G4" i="1"/>
  <c r="H4" i="1" s="1"/>
  <c r="G5" i="1"/>
  <c r="H5" i="1" s="1"/>
  <c r="G6" i="1"/>
  <c r="G7" i="1"/>
  <c r="G8" i="1"/>
  <c r="G9" i="1"/>
  <c r="G10" i="1"/>
  <c r="H10" i="1" s="1"/>
  <c r="G11" i="1"/>
  <c r="H11" i="1" s="1"/>
  <c r="G12" i="1"/>
  <c r="G13" i="1"/>
  <c r="H13" i="1" s="1"/>
  <c r="G14" i="1"/>
  <c r="H14" i="1" s="1"/>
  <c r="G15" i="1"/>
  <c r="H15" i="1" s="1"/>
  <c r="G16" i="1"/>
  <c r="I16" i="1" s="1"/>
  <c r="G17" i="1"/>
  <c r="G18" i="1"/>
  <c r="H18" i="1" s="1"/>
  <c r="G19" i="1"/>
  <c r="H19" i="1" s="1"/>
  <c r="G20" i="1"/>
  <c r="I20" i="1" s="1"/>
  <c r="G21" i="1"/>
  <c r="I21" i="1" s="1"/>
  <c r="G22" i="1"/>
  <c r="I22" i="1" s="1"/>
  <c r="G23" i="1"/>
  <c r="H23" i="1" s="1"/>
  <c r="G24" i="1"/>
  <c r="I24" i="1" s="1"/>
  <c r="G25" i="1"/>
  <c r="I25" i="1" s="1"/>
  <c r="G26" i="1"/>
  <c r="H26" i="1" s="1"/>
  <c r="H6" i="1"/>
  <c r="H7" i="1"/>
  <c r="H8" i="1"/>
  <c r="H9" i="1"/>
  <c r="H12" i="1"/>
  <c r="H17" i="1"/>
  <c r="H20" i="1"/>
  <c r="I6" i="1"/>
  <c r="I7" i="1"/>
  <c r="I8" i="1"/>
  <c r="I9" i="1"/>
  <c r="I10" i="1"/>
  <c r="I11" i="1"/>
  <c r="I12" i="1"/>
  <c r="I13" i="1"/>
  <c r="I14" i="1"/>
  <c r="I17" i="1"/>
  <c r="I18" i="1"/>
  <c r="G2" i="1"/>
  <c r="H2" i="1" s="1"/>
  <c r="I5" i="1" l="1"/>
  <c r="H3" i="1"/>
  <c r="I26" i="1"/>
  <c r="I23" i="1"/>
  <c r="H22" i="1"/>
  <c r="I15" i="1"/>
  <c r="H25" i="1"/>
  <c r="H24" i="1"/>
  <c r="H21" i="1"/>
  <c r="I19" i="1"/>
  <c r="H16" i="1"/>
  <c r="I4" i="1"/>
  <c r="I2" i="1"/>
</calcChain>
</file>

<file path=xl/sharedStrings.xml><?xml version="1.0" encoding="utf-8"?>
<sst xmlns="http://schemas.openxmlformats.org/spreadsheetml/2006/main" count="31" uniqueCount="31">
  <si>
    <t>Substrate Dieletric</t>
  </si>
  <si>
    <t>Cross Talk Coeff</t>
  </si>
  <si>
    <t>Coupled Voltage</t>
  </si>
  <si>
    <t>Trt</t>
  </si>
  <si>
    <t>Source Rise Time (ns)</t>
  </si>
  <si>
    <t>Source Voltage (V)</t>
  </si>
  <si>
    <t>Parallel Length (mm)</t>
  </si>
  <si>
    <t>Substrate Height (mm)</t>
  </si>
  <si>
    <t>Trace Spacing (mm)</t>
  </si>
  <si>
    <t>Input Voltage</t>
  </si>
  <si>
    <t>Output Voltage</t>
  </si>
  <si>
    <t>Current Consumption</t>
  </si>
  <si>
    <t>Power Dissapated (PD)</t>
  </si>
  <si>
    <t>RJA</t>
  </si>
  <si>
    <t>RJC</t>
  </si>
  <si>
    <t>RJB</t>
  </si>
  <si>
    <t>Ambient T</t>
  </si>
  <si>
    <t>TJ_rise</t>
  </si>
  <si>
    <t>LDO Temp</t>
  </si>
  <si>
    <t>Tjunc</t>
  </si>
  <si>
    <t>Desired LDO Temp</t>
  </si>
  <si>
    <t>Desired RJA</t>
  </si>
  <si>
    <t>Min RJA</t>
  </si>
  <si>
    <t>Via Radius</t>
  </si>
  <si>
    <t>Board Height</t>
  </si>
  <si>
    <t>Cu Height</t>
  </si>
  <si>
    <t>R_Via</t>
  </si>
  <si>
    <t>Lambda_Cu</t>
  </si>
  <si>
    <t>Board Area (mm^2)</t>
  </si>
  <si>
    <t>N_via</t>
  </si>
  <si>
    <t>R_Vias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</si>
</sst>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5D6200-DCDC-4E43-BAA0-1F7B4C4E83DE}" name="Table1" displayName="Table1" ref="A1:I26" totalsRowShown="0">
  <autoFilter ref="A1:I26" xr:uid="{695D6200-DCDC-4E43-BAA0-1F7B4C4E83DE}"/>
  <tableColumns count="9">
    <tableColumn id="1" xr3:uid="{8A3A1956-62C4-404E-A6FB-B67632941E83}" name="Source Rise Time (ns)"/>
    <tableColumn id="2" xr3:uid="{25887713-1270-4AE5-905D-25810A4BBE92}" name="Source Voltage (V)"/>
    <tableColumn id="3" xr3:uid="{B018153C-562B-42DA-88F9-A05BAF63FF0A}" name="Parallel Length (mm)"/>
    <tableColumn id="4" xr3:uid="{967E4E01-600D-4A5C-B15B-259DDBB632A7}" name="Substrate Height (mm)"/>
    <tableColumn id="5" xr3:uid="{812003DF-6B71-42F4-8C2A-89027A73DD88}" name="Trace Spacing (mm)"/>
    <tableColumn id="6" xr3:uid="{EB2E19CC-BAE1-48EF-B10C-BDDB19904E6B}" name="Substrate Dieletric"/>
    <tableColumn id="7" xr3:uid="{4B99D12C-2197-459F-9041-4648649304AF}" name="Trt">
      <calculatedColumnFormula>1.017*SQRT((F2*0.475)+0.67)*C2*2</calculatedColumnFormula>
    </tableColumn>
    <tableColumn id="8" xr3:uid="{66807375-C01C-4521-9D3C-827B054B3ECC}" name="Cross Talk Coeff">
      <calculatedColumnFormula>IF(((G2/A2)&lt;=1),(20*LOG10((1/(1+((E2/D2)^2)))*(G2/A2))),(20*LOG10((1/(1+((E2/D2)^2))))))</calculatedColumnFormula>
    </tableColumn>
    <tableColumn id="9" xr3:uid="{F8545A93-8EBE-4FBE-924C-AA9B01DD9BAB}" name="Coupled Voltage">
      <calculatedColumnFormula>IF(((G2/A2)&lt;=1),(B2*((1/(1+((E2/D2)^2)))*(G2/A2))),(B2*((1/(1+((E2/D2)^2))))))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C425A-7E40-4902-A1A3-B7014F0110B6}">
  <dimension ref="A1:I26"/>
  <sheetViews>
    <sheetView workbookViewId="0">
      <selection activeCell="A6" sqref="A6:XFD6"/>
    </sheetView>
  </sheetViews>
  <sheetFormatPr defaultRowHeight="14.25" x14ac:dyDescent="0.45"/>
  <cols>
    <col min="1" max="1" width="19.9296875" customWidth="1"/>
    <col min="2" max="2" width="17.46484375" customWidth="1"/>
    <col min="3" max="3" width="19.33203125" customWidth="1"/>
    <col min="4" max="4" width="20.9296875" customWidth="1"/>
    <col min="5" max="5" width="18.53125" customWidth="1"/>
    <col min="6" max="6" width="17.6640625" customWidth="1"/>
    <col min="7" max="7" width="13.9296875" bestFit="1" customWidth="1"/>
    <col min="8" max="8" width="15.6640625" customWidth="1"/>
    <col min="9" max="9" width="15.86328125" customWidth="1"/>
  </cols>
  <sheetData>
    <row r="1" spans="1:9" x14ac:dyDescent="0.4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0</v>
      </c>
      <c r="G1" t="s">
        <v>3</v>
      </c>
      <c r="H1" t="s">
        <v>1</v>
      </c>
      <c r="I1" t="s">
        <v>2</v>
      </c>
    </row>
    <row r="2" spans="1:9" x14ac:dyDescent="0.45">
      <c r="A2">
        <v>1</v>
      </c>
      <c r="B2">
        <v>3.3</v>
      </c>
      <c r="C2">
        <v>27.1</v>
      </c>
      <c r="D2">
        <v>0.20300000000000001</v>
      </c>
      <c r="E2">
        <v>0.254</v>
      </c>
      <c r="F2">
        <v>4.4000000000000004</v>
      </c>
      <c r="G2">
        <f>1.017*SQRT((F2*0.475)+0.67)*C2*2</f>
        <v>91.574547319490463</v>
      </c>
      <c r="H2">
        <f>IF(((G2/A2)&lt;=1),(20*LOG10((1/(1+((E2/D2)^2)))*(G2/A2))),(20*LOG10((1/(1+((E2/D2)^2))))))</f>
        <v>-8.1837123598502437</v>
      </c>
      <c r="I2">
        <f>IF(((G2/A2)&lt;=1),(B2*((1/(1+((E2/D2)^2)))*(G2/A2))),(B2*((1/(1+((E2/D2)^2))))))</f>
        <v>1.2862586899976352</v>
      </c>
    </row>
    <row r="3" spans="1:9" x14ac:dyDescent="0.45">
      <c r="A3">
        <v>1</v>
      </c>
      <c r="B3">
        <v>3.3</v>
      </c>
      <c r="C3">
        <v>27.1</v>
      </c>
      <c r="D3">
        <v>0.20300000000000001</v>
      </c>
      <c r="E3">
        <v>0.5</v>
      </c>
      <c r="F3">
        <v>4.4000000000000004</v>
      </c>
      <c r="G3">
        <f t="shared" ref="G3:G26" si="0">1.017*SQRT((F3*0.475)+0.67)*C3*2</f>
        <v>91.574547319490463</v>
      </c>
      <c r="H3">
        <f t="shared" ref="H3:H26" si="1">IF(((G3/A3)&lt;=1),(20*LOG10((1/(1+((E3/D3)^2)))*(G3/A3))),(20*LOG10((1/(1+((E3/D3)^2))))))</f>
        <v>-16.984254343402519</v>
      </c>
      <c r="I3">
        <f t="shared" ref="I3:I26" si="2">IF(((G3/A3)&lt;=1),(B3*((1/(1+((E3/D3)^2)))*(G3/A3))),(B3*((1/(1+((E3/D3)^2))))))</f>
        <v>0.4669831632950906</v>
      </c>
    </row>
    <row r="4" spans="1:9" x14ac:dyDescent="0.45">
      <c r="A4">
        <v>1</v>
      </c>
      <c r="B4">
        <v>3.3</v>
      </c>
      <c r="C4">
        <v>27.1</v>
      </c>
      <c r="D4">
        <v>0.20300000000000001</v>
      </c>
      <c r="E4">
        <v>1</v>
      </c>
      <c r="F4">
        <v>4.4000000000000004</v>
      </c>
      <c r="G4">
        <f t="shared" si="0"/>
        <v>91.574547319490463</v>
      </c>
      <c r="H4">
        <f t="shared" si="1"/>
        <v>-28.050916751613144</v>
      </c>
      <c r="I4">
        <f t="shared" si="2"/>
        <v>0.13060749570931487</v>
      </c>
    </row>
    <row r="5" spans="1:9" x14ac:dyDescent="0.45">
      <c r="A5">
        <v>3.3</v>
      </c>
      <c r="B5">
        <v>3.3</v>
      </c>
      <c r="C5">
        <v>2</v>
      </c>
      <c r="D5">
        <v>0.20300000000000001</v>
      </c>
      <c r="E5">
        <v>1</v>
      </c>
      <c r="F5">
        <v>4.4000000000000004</v>
      </c>
      <c r="G5">
        <f t="shared" si="0"/>
        <v>6.7582691748701444</v>
      </c>
      <c r="H5">
        <f t="shared" si="1"/>
        <v>-28.050916751613144</v>
      </c>
      <c r="I5">
        <f t="shared" si="2"/>
        <v>0.13060749570931487</v>
      </c>
    </row>
    <row r="6" spans="1:9" x14ac:dyDescent="0.45">
      <c r="G6">
        <f t="shared" si="0"/>
        <v>0</v>
      </c>
      <c r="H6" t="e">
        <f t="shared" si="1"/>
        <v>#DIV/0!</v>
      </c>
      <c r="I6" t="e">
        <f t="shared" si="2"/>
        <v>#DIV/0!</v>
      </c>
    </row>
    <row r="7" spans="1:9" x14ac:dyDescent="0.45">
      <c r="G7">
        <f t="shared" si="0"/>
        <v>0</v>
      </c>
      <c r="H7" t="e">
        <f t="shared" si="1"/>
        <v>#DIV/0!</v>
      </c>
      <c r="I7" t="e">
        <f t="shared" si="2"/>
        <v>#DIV/0!</v>
      </c>
    </row>
    <row r="8" spans="1:9" x14ac:dyDescent="0.45">
      <c r="G8">
        <f t="shared" si="0"/>
        <v>0</v>
      </c>
      <c r="H8" t="e">
        <f t="shared" si="1"/>
        <v>#DIV/0!</v>
      </c>
      <c r="I8" t="e">
        <f t="shared" si="2"/>
        <v>#DIV/0!</v>
      </c>
    </row>
    <row r="9" spans="1:9" x14ac:dyDescent="0.45">
      <c r="G9">
        <f t="shared" si="0"/>
        <v>0</v>
      </c>
      <c r="H9" t="e">
        <f t="shared" si="1"/>
        <v>#DIV/0!</v>
      </c>
      <c r="I9" t="e">
        <f t="shared" si="2"/>
        <v>#DIV/0!</v>
      </c>
    </row>
    <row r="10" spans="1:9" x14ac:dyDescent="0.45">
      <c r="G10">
        <f t="shared" si="0"/>
        <v>0</v>
      </c>
      <c r="H10" t="e">
        <f t="shared" si="1"/>
        <v>#DIV/0!</v>
      </c>
      <c r="I10" t="e">
        <f t="shared" si="2"/>
        <v>#DIV/0!</v>
      </c>
    </row>
    <row r="11" spans="1:9" x14ac:dyDescent="0.45">
      <c r="G11">
        <f t="shared" si="0"/>
        <v>0</v>
      </c>
      <c r="H11" t="e">
        <f t="shared" si="1"/>
        <v>#DIV/0!</v>
      </c>
      <c r="I11" t="e">
        <f t="shared" si="2"/>
        <v>#DIV/0!</v>
      </c>
    </row>
    <row r="12" spans="1:9" x14ac:dyDescent="0.45">
      <c r="G12">
        <f t="shared" si="0"/>
        <v>0</v>
      </c>
      <c r="H12" t="e">
        <f t="shared" si="1"/>
        <v>#DIV/0!</v>
      </c>
      <c r="I12" t="e">
        <f t="shared" si="2"/>
        <v>#DIV/0!</v>
      </c>
    </row>
    <row r="13" spans="1:9" x14ac:dyDescent="0.45">
      <c r="G13">
        <f t="shared" si="0"/>
        <v>0</v>
      </c>
      <c r="H13" t="e">
        <f t="shared" si="1"/>
        <v>#DIV/0!</v>
      </c>
      <c r="I13" t="e">
        <f t="shared" si="2"/>
        <v>#DIV/0!</v>
      </c>
    </row>
    <row r="14" spans="1:9" x14ac:dyDescent="0.45">
      <c r="G14">
        <f t="shared" si="0"/>
        <v>0</v>
      </c>
      <c r="H14" t="e">
        <f t="shared" si="1"/>
        <v>#DIV/0!</v>
      </c>
      <c r="I14" t="e">
        <f t="shared" si="2"/>
        <v>#DIV/0!</v>
      </c>
    </row>
    <row r="15" spans="1:9" x14ac:dyDescent="0.45">
      <c r="G15">
        <f t="shared" si="0"/>
        <v>0</v>
      </c>
      <c r="H15" t="e">
        <f t="shared" si="1"/>
        <v>#DIV/0!</v>
      </c>
      <c r="I15" t="e">
        <f t="shared" si="2"/>
        <v>#DIV/0!</v>
      </c>
    </row>
    <row r="16" spans="1:9" x14ac:dyDescent="0.45">
      <c r="G16">
        <f t="shared" si="0"/>
        <v>0</v>
      </c>
      <c r="H16" t="e">
        <f t="shared" si="1"/>
        <v>#DIV/0!</v>
      </c>
      <c r="I16" t="e">
        <f t="shared" si="2"/>
        <v>#DIV/0!</v>
      </c>
    </row>
    <row r="17" spans="7:9" x14ac:dyDescent="0.45">
      <c r="G17">
        <f t="shared" si="0"/>
        <v>0</v>
      </c>
      <c r="H17" t="e">
        <f t="shared" si="1"/>
        <v>#DIV/0!</v>
      </c>
      <c r="I17" t="e">
        <f t="shared" si="2"/>
        <v>#DIV/0!</v>
      </c>
    </row>
    <row r="18" spans="7:9" x14ac:dyDescent="0.45">
      <c r="G18">
        <f t="shared" si="0"/>
        <v>0</v>
      </c>
      <c r="H18" t="e">
        <f t="shared" si="1"/>
        <v>#DIV/0!</v>
      </c>
      <c r="I18" t="e">
        <f t="shared" si="2"/>
        <v>#DIV/0!</v>
      </c>
    </row>
    <row r="19" spans="7:9" x14ac:dyDescent="0.45">
      <c r="G19">
        <f t="shared" si="0"/>
        <v>0</v>
      </c>
      <c r="H19" t="e">
        <f t="shared" si="1"/>
        <v>#DIV/0!</v>
      </c>
      <c r="I19" t="e">
        <f t="shared" si="2"/>
        <v>#DIV/0!</v>
      </c>
    </row>
    <row r="20" spans="7:9" x14ac:dyDescent="0.45">
      <c r="G20">
        <f t="shared" si="0"/>
        <v>0</v>
      </c>
      <c r="H20" t="e">
        <f t="shared" si="1"/>
        <v>#DIV/0!</v>
      </c>
      <c r="I20" t="e">
        <f t="shared" si="2"/>
        <v>#DIV/0!</v>
      </c>
    </row>
    <row r="21" spans="7:9" x14ac:dyDescent="0.45">
      <c r="G21">
        <f t="shared" si="0"/>
        <v>0</v>
      </c>
      <c r="H21" t="e">
        <f t="shared" si="1"/>
        <v>#DIV/0!</v>
      </c>
      <c r="I21" t="e">
        <f t="shared" si="2"/>
        <v>#DIV/0!</v>
      </c>
    </row>
    <row r="22" spans="7:9" x14ac:dyDescent="0.45">
      <c r="G22">
        <f t="shared" si="0"/>
        <v>0</v>
      </c>
      <c r="H22" t="e">
        <f t="shared" si="1"/>
        <v>#DIV/0!</v>
      </c>
      <c r="I22" t="e">
        <f t="shared" si="2"/>
        <v>#DIV/0!</v>
      </c>
    </row>
    <row r="23" spans="7:9" x14ac:dyDescent="0.45">
      <c r="G23">
        <f t="shared" si="0"/>
        <v>0</v>
      </c>
      <c r="H23" t="e">
        <f t="shared" si="1"/>
        <v>#DIV/0!</v>
      </c>
      <c r="I23" t="e">
        <f t="shared" si="2"/>
        <v>#DIV/0!</v>
      </c>
    </row>
    <row r="24" spans="7:9" x14ac:dyDescent="0.45">
      <c r="G24">
        <f t="shared" si="0"/>
        <v>0</v>
      </c>
      <c r="H24" t="e">
        <f t="shared" si="1"/>
        <v>#DIV/0!</v>
      </c>
      <c r="I24" t="e">
        <f t="shared" si="2"/>
        <v>#DIV/0!</v>
      </c>
    </row>
    <row r="25" spans="7:9" x14ac:dyDescent="0.45">
      <c r="G25">
        <f t="shared" si="0"/>
        <v>0</v>
      </c>
      <c r="H25" t="e">
        <f t="shared" si="1"/>
        <v>#DIV/0!</v>
      </c>
      <c r="I25" t="e">
        <f t="shared" si="2"/>
        <v>#DIV/0!</v>
      </c>
    </row>
    <row r="26" spans="7:9" x14ac:dyDescent="0.45">
      <c r="G26">
        <f t="shared" si="0"/>
        <v>0</v>
      </c>
      <c r="H26" t="e">
        <f t="shared" si="1"/>
        <v>#DIV/0!</v>
      </c>
      <c r="I26" t="e">
        <f t="shared" si="2"/>
        <v>#DIV/0!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15355-DD49-48CB-8E7E-B93EF8971126}">
  <dimension ref="A3:K13"/>
  <sheetViews>
    <sheetView tabSelected="1" workbookViewId="0">
      <selection activeCell="O10" sqref="O10"/>
    </sheetView>
  </sheetViews>
  <sheetFormatPr defaultRowHeight="14.25" x14ac:dyDescent="0.45"/>
  <cols>
    <col min="1" max="1" width="19.46484375" bestFit="1" customWidth="1"/>
    <col min="4" max="4" width="9.06640625" bestFit="1" customWidth="1"/>
    <col min="7" max="7" width="15.73046875" bestFit="1" customWidth="1"/>
    <col min="10" max="10" width="11.19921875" bestFit="1" customWidth="1"/>
  </cols>
  <sheetData>
    <row r="3" spans="1:11" x14ac:dyDescent="0.45">
      <c r="A3" t="s">
        <v>9</v>
      </c>
      <c r="B3">
        <v>5</v>
      </c>
      <c r="D3" t="s">
        <v>13</v>
      </c>
      <c r="E3">
        <v>62.9</v>
      </c>
      <c r="G3" t="s">
        <v>20</v>
      </c>
      <c r="H3">
        <v>50</v>
      </c>
      <c r="J3" t="s">
        <v>23</v>
      </c>
      <c r="K3">
        <v>0.15</v>
      </c>
    </row>
    <row r="4" spans="1:11" x14ac:dyDescent="0.45">
      <c r="A4" t="s">
        <v>10</v>
      </c>
      <c r="B4">
        <v>3.3</v>
      </c>
      <c r="D4" t="s">
        <v>14</v>
      </c>
      <c r="E4">
        <v>47.2</v>
      </c>
      <c r="J4" t="s">
        <v>24</v>
      </c>
      <c r="K4">
        <v>1.6</v>
      </c>
    </row>
    <row r="5" spans="1:11" x14ac:dyDescent="0.45">
      <c r="A5" t="s">
        <v>11</v>
      </c>
      <c r="B5">
        <v>1</v>
      </c>
      <c r="D5" t="s">
        <v>15</v>
      </c>
      <c r="E5">
        <v>12</v>
      </c>
      <c r="G5" t="s">
        <v>21</v>
      </c>
      <c r="H5">
        <f>(H3-E7)/B7</f>
        <v>14.705882352941176</v>
      </c>
      <c r="J5" t="s">
        <v>25</v>
      </c>
      <c r="K5">
        <v>3.5000000000000003E-2</v>
      </c>
    </row>
    <row r="6" spans="1:11" x14ac:dyDescent="0.45">
      <c r="G6" t="s">
        <v>22</v>
      </c>
      <c r="H6">
        <f>(B10-E7)/B7</f>
        <v>58.823529411764703</v>
      </c>
      <c r="J6" t="s">
        <v>27</v>
      </c>
      <c r="K6">
        <v>0.4</v>
      </c>
    </row>
    <row r="7" spans="1:11" x14ac:dyDescent="0.45">
      <c r="A7" t="s">
        <v>12</v>
      </c>
      <c r="B7">
        <f>(B3-B4)</f>
        <v>1.7000000000000002</v>
      </c>
      <c r="D7" t="s">
        <v>16</v>
      </c>
      <c r="E7">
        <v>25</v>
      </c>
    </row>
    <row r="8" spans="1:11" x14ac:dyDescent="0.45">
      <c r="D8" t="s">
        <v>17</v>
      </c>
      <c r="E8">
        <f>E3*B7</f>
        <v>106.93</v>
      </c>
      <c r="J8" t="s">
        <v>26</v>
      </c>
      <c r="K8">
        <f>((1/K6)*K4)/(PI()*((K3^2)-((K3-K5)^2)))</f>
        <v>137.27650078007142</v>
      </c>
    </row>
    <row r="10" spans="1:11" x14ac:dyDescent="0.45">
      <c r="A10" t="s">
        <v>19</v>
      </c>
      <c r="B10">
        <v>125</v>
      </c>
      <c r="D10" t="s">
        <v>18</v>
      </c>
      <c r="E10">
        <f>E7+E8</f>
        <v>131.93</v>
      </c>
      <c r="J10" t="s">
        <v>29</v>
      </c>
      <c r="K10">
        <v>30</v>
      </c>
    </row>
    <row r="12" spans="1:11" x14ac:dyDescent="0.45">
      <c r="J12" t="s">
        <v>30</v>
      </c>
      <c r="K12">
        <f>K8/K10</f>
        <v>4.5758833593357142</v>
      </c>
    </row>
    <row r="13" spans="1:11" x14ac:dyDescent="0.45">
      <c r="A13" t="s">
        <v>28</v>
      </c>
      <c r="B13">
        <f>((500)/(E3-E5))*(10^2)</f>
        <v>982.31827111984296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Crosstalk</vt:lpstr>
      <vt:lpstr>LDO Thermal 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Bhargava</dc:creator>
  <cp:lastModifiedBy>Rohan Bhargava</cp:lastModifiedBy>
  <cp:lastPrinted>2026-09-23T12:43:31Z</cp:lastPrinted>
  <dcterms:created xsi:type="dcterms:W3CDTF">2026-08-10T02:00:11Z</dcterms:created>
  <dcterms:modified xsi:type="dcterms:W3CDTF">2026-10-22T16:04:45Z</dcterms:modified>
</cp:coreProperties>
</file>